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52c1f78776892510/Investment/Investment Plan Share/"/>
    </mc:Choice>
  </mc:AlternateContent>
  <xr:revisionPtr revIDLastSave="1" documentId="8_{C6B21DC2-5306-4285-A499-8599DD4D2AE2}" xr6:coauthVersionLast="47" xr6:coauthVersionMax="47" xr10:uidLastSave="{EE1215EB-779C-4FE7-B66A-518BE7318C6E}"/>
  <bookViews>
    <workbookView xWindow="-120" yWindow="-120" windowWidth="29040" windowHeight="15720" xr2:uid="{66EB3BE8-19BD-4208-9DAB-CB9A7701D1B7}"/>
  </bookViews>
  <sheets>
    <sheet name="Target Growth List" sheetId="1" r:id="rId1"/>
  </sheets>
  <definedNames>
    <definedName name="_xlnm._FilterDatabase" localSheetId="0" hidden="1">'Target Growth List'!$A$1:$N$50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9" i="1"/>
  <c r="K30" i="1"/>
  <c r="K31" i="1"/>
  <c r="K34" i="1"/>
  <c r="K35" i="1"/>
  <c r="K36" i="1"/>
  <c r="K37" i="1"/>
  <c r="K38" i="1"/>
  <c r="K39" i="1"/>
  <c r="K40" i="1"/>
  <c r="K41" i="1"/>
  <c r="K42" i="1"/>
  <c r="K43" i="1"/>
  <c r="K44" i="1"/>
  <c r="K45" i="1"/>
  <c r="K48" i="1"/>
  <c r="K49" i="1"/>
  <c r="K50" i="1"/>
</calcChain>
</file>

<file path=xl/sharedStrings.xml><?xml version="1.0" encoding="utf-8"?>
<sst xmlns="http://schemas.openxmlformats.org/spreadsheetml/2006/main" count="334" uniqueCount="127">
  <si>
    <t>Large-Predictable (Defensive) / Large Growth</t>
  </si>
  <si>
    <t>wide</t>
  </si>
  <si>
    <t>NA</t>
  </si>
  <si>
    <t>USD</t>
  </si>
  <si>
    <t>Veeva Systems Inc</t>
  </si>
  <si>
    <t>VEEV-US</t>
  </si>
  <si>
    <t>Large-Predictable (Moderately Cyclical)</t>
  </si>
  <si>
    <t>Wide</t>
  </si>
  <si>
    <t>Visa Inc</t>
  </si>
  <si>
    <t>V-US</t>
  </si>
  <si>
    <t>Large-Predictable (Defensive)</t>
  </si>
  <si>
    <t>Narrow</t>
  </si>
  <si>
    <t>UnitedHealth Group Inc</t>
  </si>
  <si>
    <t>UNH-US</t>
  </si>
  <si>
    <t>ETF</t>
  </si>
  <si>
    <t>N/A</t>
  </si>
  <si>
    <t>iShares Semiconductor ETF</t>
  </si>
  <si>
    <t>SOHX-US</t>
  </si>
  <si>
    <t>Global X Defense Tech ETF</t>
  </si>
  <si>
    <t>SHLD-US</t>
  </si>
  <si>
    <t>Pool Corporation</t>
  </si>
  <si>
    <t>POOL-US</t>
  </si>
  <si>
    <t>Speculative Growth</t>
  </si>
  <si>
    <t>Palantir Technologies Inc</t>
  </si>
  <si>
    <t>PLTR-US</t>
  </si>
  <si>
    <t>PepsiCo Inc</t>
  </si>
  <si>
    <t>PEP-US</t>
  </si>
  <si>
    <t>Large Growth</t>
  </si>
  <si>
    <t>Palo Alto Networks Inc</t>
  </si>
  <si>
    <t>PANW-US</t>
  </si>
  <si>
    <t>Novo Nordisk A/S</t>
  </si>
  <si>
    <t>NVO-US</t>
  </si>
  <si>
    <t>ServiceNow Inc</t>
  </si>
  <si>
    <t>NOW-US</t>
  </si>
  <si>
    <t>Turnaround</t>
  </si>
  <si>
    <t>Nike Inc</t>
  </si>
  <si>
    <t>NKE-US</t>
  </si>
  <si>
    <t>Motorola Solutions Inc</t>
  </si>
  <si>
    <t>MSI-US</t>
  </si>
  <si>
    <t>Msci Inc</t>
  </si>
  <si>
    <t>MSCI-US</t>
  </si>
  <si>
    <t>Mercadolibre Inc</t>
  </si>
  <si>
    <t>MEI-US</t>
  </si>
  <si>
    <t>LVMH Moët Hennessy Louis Vuitton SA Unsponsored ADR</t>
  </si>
  <si>
    <t>LVMUY-US</t>
  </si>
  <si>
    <t>Lowe's Companies Inc</t>
  </si>
  <si>
    <t>LOW-US</t>
  </si>
  <si>
    <t>iShares US Medical Devices ETF</t>
  </si>
  <si>
    <t>IHI-US</t>
  </si>
  <si>
    <t>iShares US Healthcare Providers ETF</t>
  </si>
  <si>
    <t>IHF-US</t>
  </si>
  <si>
    <t>IDEXX Laboratories Inc</t>
  </si>
  <si>
    <t>IDXX-US</t>
  </si>
  <si>
    <t>Hershey Co</t>
  </si>
  <si>
    <t>HSY-US</t>
  </si>
  <si>
    <t>HCA Healthcare Inc</t>
  </si>
  <si>
    <t>HCA-US</t>
  </si>
  <si>
    <t>S&amp;P China ETF</t>
  </si>
  <si>
    <t>GXC-US</t>
  </si>
  <si>
    <t>Fortinet Inc</t>
  </si>
  <si>
    <t>FNTTF-US</t>
  </si>
  <si>
    <t>Evolution AB</t>
  </si>
  <si>
    <t>EVBN-US</t>
  </si>
  <si>
    <t>Elevance Health Inc</t>
  </si>
  <si>
    <t>ELV-US</t>
  </si>
  <si>
    <t>Crowdstrike Holdings Inc</t>
  </si>
  <si>
    <t>CRWD-US</t>
  </si>
  <si>
    <t>Large-Growth</t>
  </si>
  <si>
    <t>Salesforce.com, Inc.</t>
  </si>
  <si>
    <t>CRM-US</t>
  </si>
  <si>
    <t>Large-Cap Growth (Moderately Cyclical)</t>
  </si>
  <si>
    <t>Copart Inc</t>
  </si>
  <si>
    <t>CPRT-US</t>
  </si>
  <si>
    <t>Celsius Holdings, Inc.</t>
  </si>
  <si>
    <t>CELH-US</t>
  </si>
  <si>
    <t>Booking Holdings Inc</t>
  </si>
  <si>
    <t>BKNG-US</t>
  </si>
  <si>
    <t>AutoZone Inc</t>
  </si>
  <si>
    <t>AZO-US</t>
  </si>
  <si>
    <t>Broadcom Inc</t>
  </si>
  <si>
    <t>AVGO-US</t>
  </si>
  <si>
    <t>ASML Holding NV</t>
  </si>
  <si>
    <t>ASML-US</t>
  </si>
  <si>
    <t>Accenture Plc</t>
  </si>
  <si>
    <t>ACN-US</t>
  </si>
  <si>
    <t>HKD</t>
  </si>
  <si>
    <t>Alibaba Group Holding Ltd (HK)</t>
  </si>
  <si>
    <t>9988-HK</t>
  </si>
  <si>
    <t>JD.com Inc (HK)</t>
  </si>
  <si>
    <t>1618-HK</t>
  </si>
  <si>
    <t>iShares Hang Seng TECH ETF</t>
  </si>
  <si>
    <t>3067-HK</t>
  </si>
  <si>
    <t>Ping An Insurance (Group)</t>
  </si>
  <si>
    <t>2318-HK</t>
  </si>
  <si>
    <t>Hong Kong Exchanges and Clearing Limited</t>
  </si>
  <si>
    <t>0388-HK</t>
  </si>
  <si>
    <t>Thermo Fisher Scientific Inc</t>
  </si>
  <si>
    <t>TMO-US</t>
  </si>
  <si>
    <t>S&amp;P Global Inc</t>
  </si>
  <si>
    <t>SPGI-US</t>
  </si>
  <si>
    <t>NVIDIA Corporation</t>
  </si>
  <si>
    <t>NVDA-US</t>
  </si>
  <si>
    <t>Microsoft Corporation</t>
  </si>
  <si>
    <t>MSFT-US</t>
  </si>
  <si>
    <t>Meta Platforms Inc</t>
  </si>
  <si>
    <t>META-US</t>
  </si>
  <si>
    <t>Mastercard Inc</t>
  </si>
  <si>
    <t>MA-US</t>
  </si>
  <si>
    <t>Alphabet Inc Class A</t>
  </si>
  <si>
    <t>GOOGL-US</t>
  </si>
  <si>
    <t>Amazon.com, Inc.</t>
  </si>
  <si>
    <t>AMZN-US</t>
  </si>
  <si>
    <t>Apple Inc</t>
  </si>
  <si>
    <t>AAPL-US</t>
  </si>
  <si>
    <t>Investment Type</t>
  </si>
  <si>
    <t>Moat</t>
  </si>
  <si>
    <t>Avg. Discount / Premium</t>
  </si>
  <si>
    <t>Average IV</t>
  </si>
  <si>
    <t>Last Price</t>
  </si>
  <si>
    <t>Support Level 5</t>
  </si>
  <si>
    <t>Support Level 4</t>
  </si>
  <si>
    <t>Support Level 3</t>
  </si>
  <si>
    <t>Support Level 2</t>
  </si>
  <si>
    <t>Support Level 1</t>
  </si>
  <si>
    <t>Currency</t>
  </si>
  <si>
    <t>Company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</si>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</sst>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10" fontId="2" fillId="0" borderId="1" xfId="0" applyNumberFormat="1" applyFont="1" applyBorder="1" applyAlignment="1">
      <alignment horizontal="right" wrapText="1"/>
    </xf>
    <xf numFmtId="164" fontId="2" fillId="0" borderId="1" xfId="0" applyNumberFormat="1" applyFont="1" applyBorder="1" applyAlignment="1">
      <alignment wrapText="1"/>
    </xf>
    <xf numFmtId="164" fontId="2" fillId="2" borderId="1" xfId="0" applyNumberFormat="1" applyFont="1" applyFill="1" applyBorder="1" applyAlignment="1">
      <alignment wrapText="1"/>
    </xf>
    <xf numFmtId="2" fontId="2" fillId="0" borderId="1" xfId="0" applyNumberFormat="1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164" fontId="2" fillId="4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10" fontId="2" fillId="2" borderId="1" xfId="0" applyNumberFormat="1" applyFont="1" applyFill="1" applyBorder="1" applyAlignment="1">
      <alignment horizontal="right" wrapText="1"/>
    </xf>
    <xf numFmtId="2" fontId="2" fillId="2" borderId="1" xfId="0" applyNumberFormat="1" applyFont="1" applyFill="1" applyBorder="1" applyAlignment="1">
      <alignment horizontal="right" wrapText="1"/>
    </xf>
    <xf numFmtId="164" fontId="2" fillId="2" borderId="1" xfId="0" applyNumberFormat="1" applyFont="1" applyFill="1" applyBorder="1" applyAlignment="1">
      <alignment horizontal="right" wrapText="1"/>
    </xf>
    <xf numFmtId="0" fontId="2" fillId="5" borderId="1" xfId="0" applyFont="1" applyFill="1" applyBorder="1" applyAlignment="1">
      <alignment wrapText="1"/>
    </xf>
    <xf numFmtId="2" fontId="2" fillId="0" borderId="1" xfId="0" applyNumberFormat="1" applyFont="1" applyBorder="1" applyAlignment="1">
      <alignment wrapText="1"/>
    </xf>
    <xf numFmtId="2" fontId="2" fillId="2" borderId="1" xfId="0" applyNumberFormat="1" applyFont="1" applyFill="1" applyBorder="1" applyAlignment="1">
      <alignment wrapText="1"/>
    </xf>
    <xf numFmtId="0" fontId="1" fillId="0" borderId="0" xfId="0" applyFont="1"/>
    <xf numFmtId="165" fontId="2" fillId="0" borderId="1" xfId="0" applyNumberFormat="1" applyFont="1" applyBorder="1" applyAlignment="1">
      <alignment horizontal="right" wrapText="1"/>
    </xf>
    <xf numFmtId="0" fontId="2" fillId="6" borderId="1" xfId="0" applyFont="1" applyFill="1" applyBorder="1" applyAlignment="1">
      <alignment wrapText="1"/>
    </xf>
    <xf numFmtId="165" fontId="2" fillId="2" borderId="1" xfId="0" applyNumberFormat="1" applyFont="1" applyFill="1" applyBorder="1" applyAlignment="1">
      <alignment horizontal="right" wrapText="1"/>
    </xf>
    <xf numFmtId="0" fontId="2" fillId="7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016C-6091-44F0-A382-6A8C524EFACB}">
  <dimension ref="A1:M5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9" sqref="O9"/>
    </sheetView>
  </sheetViews>
  <sheetFormatPr defaultRowHeight="15" x14ac:dyDescent="0.25"/>
  <cols>
    <col min="1" max="1" width="14.85546875" customWidth="1"/>
    <col min="2" max="2" width="38.85546875" customWidth="1"/>
    <col min="9" max="9" width="11.7109375" customWidth="1"/>
    <col min="11" max="11" width="18.28515625" customWidth="1"/>
    <col min="13" max="13" width="40" customWidth="1"/>
  </cols>
  <sheetData>
    <row r="1" spans="1:13" ht="27" thickBot="1" x14ac:dyDescent="0.3">
      <c r="A1" s="2" t="s">
        <v>126</v>
      </c>
      <c r="B1" s="2" t="s">
        <v>125</v>
      </c>
      <c r="C1" s="2" t="s">
        <v>124</v>
      </c>
      <c r="D1" s="24" t="s">
        <v>123</v>
      </c>
      <c r="E1" s="24" t="s">
        <v>122</v>
      </c>
      <c r="F1" s="24" t="s">
        <v>121</v>
      </c>
      <c r="G1" s="24" t="s">
        <v>120</v>
      </c>
      <c r="H1" s="24" t="s">
        <v>119</v>
      </c>
      <c r="I1" s="23" t="s">
        <v>118</v>
      </c>
      <c r="J1" s="2" t="s">
        <v>117</v>
      </c>
      <c r="K1" s="23" t="s">
        <v>116</v>
      </c>
      <c r="L1" s="2" t="s">
        <v>115</v>
      </c>
      <c r="M1" s="2" t="s">
        <v>114</v>
      </c>
    </row>
    <row r="2" spans="1:13" ht="15.75" thickBot="1" x14ac:dyDescent="0.3">
      <c r="A2" s="22" t="s">
        <v>113</v>
      </c>
      <c r="B2" s="22" t="s">
        <v>112</v>
      </c>
      <c r="C2" s="22" t="s">
        <v>3</v>
      </c>
      <c r="D2" s="7">
        <v>189</v>
      </c>
      <c r="E2" s="7">
        <v>182</v>
      </c>
      <c r="F2" s="7">
        <v>168</v>
      </c>
      <c r="G2" s="5" t="s">
        <v>15</v>
      </c>
      <c r="H2" s="5" t="s">
        <v>15</v>
      </c>
      <c r="I2" s="6">
        <v>239.69</v>
      </c>
      <c r="J2" s="6">
        <v>193</v>
      </c>
      <c r="K2" s="19">
        <f>I2/J2-1</f>
        <v>0.24191709844559584</v>
      </c>
      <c r="L2" s="2" t="s">
        <v>7</v>
      </c>
      <c r="M2" s="2" t="s">
        <v>67</v>
      </c>
    </row>
    <row r="3" spans="1:13" ht="15.75" thickBot="1" x14ac:dyDescent="0.3">
      <c r="A3" s="22" t="s">
        <v>111</v>
      </c>
      <c r="B3" s="22" t="s">
        <v>110</v>
      </c>
      <c r="C3" s="22" t="s">
        <v>3</v>
      </c>
      <c r="D3" s="7">
        <v>213</v>
      </c>
      <c r="E3" s="7">
        <v>187</v>
      </c>
      <c r="F3" s="7">
        <v>163</v>
      </c>
      <c r="G3" s="7">
        <v>146</v>
      </c>
      <c r="H3" s="5" t="s">
        <v>15</v>
      </c>
      <c r="I3" s="6">
        <v>232.33</v>
      </c>
      <c r="J3" s="6">
        <v>229</v>
      </c>
      <c r="K3" s="19">
        <f>I3/J3-1</f>
        <v>1.4541484716157349E-2</v>
      </c>
      <c r="L3" s="2" t="s">
        <v>7</v>
      </c>
      <c r="M3" s="2" t="s">
        <v>67</v>
      </c>
    </row>
    <row r="4" spans="1:13" ht="15.75" thickBot="1" x14ac:dyDescent="0.3">
      <c r="A4" s="22" t="s">
        <v>109</v>
      </c>
      <c r="B4" s="22" t="s">
        <v>108</v>
      </c>
      <c r="C4" s="22" t="s">
        <v>3</v>
      </c>
      <c r="D4" s="7">
        <v>190</v>
      </c>
      <c r="E4" s="7">
        <v>182</v>
      </c>
      <c r="F4" s="7">
        <v>175</v>
      </c>
      <c r="G4" s="7">
        <v>164</v>
      </c>
      <c r="H4" s="5" t="s">
        <v>15</v>
      </c>
      <c r="I4" s="6">
        <v>235.05</v>
      </c>
      <c r="J4" s="6">
        <v>223</v>
      </c>
      <c r="K4" s="19">
        <f>I4/J4-1</f>
        <v>5.4035874439462006E-2</v>
      </c>
      <c r="L4" s="2" t="s">
        <v>7</v>
      </c>
      <c r="M4" s="2" t="s">
        <v>67</v>
      </c>
    </row>
    <row r="5" spans="1:13" ht="15.75" thickBot="1" x14ac:dyDescent="0.3">
      <c r="A5" s="22" t="s">
        <v>107</v>
      </c>
      <c r="B5" s="22" t="s">
        <v>106</v>
      </c>
      <c r="C5" s="22" t="s">
        <v>3</v>
      </c>
      <c r="D5" s="7">
        <v>502</v>
      </c>
      <c r="E5" s="7">
        <v>462</v>
      </c>
      <c r="F5" s="7">
        <v>423</v>
      </c>
      <c r="G5" s="5" t="s">
        <v>15</v>
      </c>
      <c r="H5" s="5" t="s">
        <v>15</v>
      </c>
      <c r="I5" s="6">
        <v>584.22</v>
      </c>
      <c r="J5" s="6">
        <v>529</v>
      </c>
      <c r="K5" s="19">
        <f>I5/J5-1</f>
        <v>0.10438563327032147</v>
      </c>
      <c r="L5" s="2" t="s">
        <v>7</v>
      </c>
      <c r="M5" s="2" t="s">
        <v>6</v>
      </c>
    </row>
    <row r="6" spans="1:13" ht="15.75" thickBot="1" x14ac:dyDescent="0.3">
      <c r="A6" s="22" t="s">
        <v>105</v>
      </c>
      <c r="B6" s="22" t="s">
        <v>104</v>
      </c>
      <c r="C6" s="22" t="s">
        <v>3</v>
      </c>
      <c r="D6" s="7">
        <v>734</v>
      </c>
      <c r="E6" s="7">
        <v>694</v>
      </c>
      <c r="F6" s="7">
        <v>649</v>
      </c>
      <c r="G6" s="7">
        <v>576</v>
      </c>
      <c r="H6" s="5" t="s">
        <v>15</v>
      </c>
      <c r="I6" s="6">
        <v>752.45</v>
      </c>
      <c r="J6" s="6">
        <v>815</v>
      </c>
      <c r="K6" s="19">
        <f>I6/J6-1</f>
        <v>-7.6748466257668624E-2</v>
      </c>
      <c r="L6" s="2" t="s">
        <v>7</v>
      </c>
      <c r="M6" s="2" t="s">
        <v>67</v>
      </c>
    </row>
    <row r="7" spans="1:13" ht="15.75" thickBot="1" x14ac:dyDescent="0.3">
      <c r="A7" s="22" t="s">
        <v>103</v>
      </c>
      <c r="B7" s="22" t="s">
        <v>102</v>
      </c>
      <c r="C7" s="22" t="s">
        <v>3</v>
      </c>
      <c r="D7" s="7">
        <v>482</v>
      </c>
      <c r="E7" s="7">
        <v>456</v>
      </c>
      <c r="F7" s="7">
        <v>431</v>
      </c>
      <c r="G7" s="7">
        <v>387</v>
      </c>
      <c r="H7" s="5" t="s">
        <v>15</v>
      </c>
      <c r="I7" s="6">
        <v>495</v>
      </c>
      <c r="J7" s="6">
        <v>544</v>
      </c>
      <c r="K7" s="19">
        <f>I7/J7-1</f>
        <v>-9.0073529411764719E-2</v>
      </c>
      <c r="L7" s="2" t="s">
        <v>7</v>
      </c>
      <c r="M7" s="2" t="s">
        <v>67</v>
      </c>
    </row>
    <row r="8" spans="1:13" ht="15.75" thickBot="1" x14ac:dyDescent="0.3">
      <c r="A8" s="22" t="s">
        <v>101</v>
      </c>
      <c r="B8" s="22" t="s">
        <v>100</v>
      </c>
      <c r="C8" s="22" t="s">
        <v>3</v>
      </c>
      <c r="D8" s="7">
        <v>153</v>
      </c>
      <c r="E8" s="7">
        <v>134</v>
      </c>
      <c r="F8" s="7">
        <v>113</v>
      </c>
      <c r="G8" s="7">
        <v>101</v>
      </c>
      <c r="H8" s="7">
        <v>90</v>
      </c>
      <c r="I8" s="6">
        <v>167.02</v>
      </c>
      <c r="J8" s="6">
        <v>168</v>
      </c>
      <c r="K8" s="19">
        <f>I8/J8-1</f>
        <v>-5.833333333333246E-3</v>
      </c>
      <c r="L8" s="2" t="s">
        <v>7</v>
      </c>
      <c r="M8" s="2" t="s">
        <v>67</v>
      </c>
    </row>
    <row r="9" spans="1:13" ht="15.75" thickBot="1" x14ac:dyDescent="0.3">
      <c r="A9" s="22" t="s">
        <v>99</v>
      </c>
      <c r="B9" s="22" t="s">
        <v>98</v>
      </c>
      <c r="C9" s="22" t="s">
        <v>3</v>
      </c>
      <c r="D9" s="7">
        <v>512</v>
      </c>
      <c r="E9" s="7">
        <v>480</v>
      </c>
      <c r="F9" s="7">
        <v>457</v>
      </c>
      <c r="G9" s="7">
        <v>429</v>
      </c>
      <c r="H9" s="5" t="s">
        <v>15</v>
      </c>
      <c r="I9" s="6">
        <v>538.05999999999995</v>
      </c>
      <c r="J9" s="6">
        <v>528</v>
      </c>
      <c r="K9" s="19">
        <f>I9/J9-1</f>
        <v>1.9053030303030294E-2</v>
      </c>
      <c r="L9" s="2" t="s">
        <v>7</v>
      </c>
      <c r="M9" s="2" t="s">
        <v>10</v>
      </c>
    </row>
    <row r="10" spans="1:13" ht="15.75" thickBot="1" x14ac:dyDescent="0.3">
      <c r="A10" s="22" t="s">
        <v>97</v>
      </c>
      <c r="B10" s="22" t="s">
        <v>96</v>
      </c>
      <c r="C10" s="22" t="s">
        <v>3</v>
      </c>
      <c r="D10" s="10">
        <v>528</v>
      </c>
      <c r="E10" s="10">
        <v>501</v>
      </c>
      <c r="F10" s="7">
        <v>475</v>
      </c>
      <c r="G10" s="7">
        <v>414</v>
      </c>
      <c r="H10" s="5" t="s">
        <v>15</v>
      </c>
      <c r="I10" s="6">
        <v>492.6</v>
      </c>
      <c r="J10" s="6">
        <v>619</v>
      </c>
      <c r="K10" s="19">
        <f>I10/J10-1</f>
        <v>-0.20420032310177705</v>
      </c>
      <c r="L10" s="2" t="s">
        <v>7</v>
      </c>
      <c r="M10" s="2" t="s">
        <v>10</v>
      </c>
    </row>
    <row r="11" spans="1:13" ht="15.75" thickBot="1" x14ac:dyDescent="0.3">
      <c r="A11" s="20" t="s">
        <v>95</v>
      </c>
      <c r="B11" s="20" t="s">
        <v>94</v>
      </c>
      <c r="C11" s="20" t="s">
        <v>85</v>
      </c>
      <c r="D11" s="7">
        <v>322</v>
      </c>
      <c r="E11" s="7">
        <v>299</v>
      </c>
      <c r="F11" s="7">
        <v>281</v>
      </c>
      <c r="G11" s="7">
        <v>219</v>
      </c>
      <c r="H11" s="5" t="s">
        <v>15</v>
      </c>
      <c r="I11" s="6">
        <v>435.6</v>
      </c>
      <c r="J11" s="6">
        <v>325</v>
      </c>
      <c r="K11" s="19">
        <f>I11/J11-1</f>
        <v>0.34030769230769242</v>
      </c>
      <c r="L11" s="2" t="s">
        <v>7</v>
      </c>
      <c r="M11" s="2" t="s">
        <v>6</v>
      </c>
    </row>
    <row r="12" spans="1:13" ht="15.75" thickBot="1" x14ac:dyDescent="0.3">
      <c r="A12" s="20" t="s">
        <v>93</v>
      </c>
      <c r="B12" s="20" t="s">
        <v>92</v>
      </c>
      <c r="C12" s="20" t="s">
        <v>85</v>
      </c>
      <c r="D12" s="6">
        <v>54.9</v>
      </c>
      <c r="E12" s="6">
        <v>52</v>
      </c>
      <c r="F12" s="6">
        <v>46.9</v>
      </c>
      <c r="G12" s="6">
        <v>39.700000000000003</v>
      </c>
      <c r="H12" s="5" t="s">
        <v>15</v>
      </c>
      <c r="I12" s="5" t="s">
        <v>15</v>
      </c>
      <c r="J12" s="6">
        <v>85.1</v>
      </c>
      <c r="K12" s="19" t="e">
        <f>I12/J12-1</f>
        <v>#VALUE!</v>
      </c>
      <c r="L12" s="2" t="s">
        <v>7</v>
      </c>
      <c r="M12" s="15" t="s">
        <v>34</v>
      </c>
    </row>
    <row r="13" spans="1:13" ht="15.75" thickBot="1" x14ac:dyDescent="0.3">
      <c r="A13" s="11" t="s">
        <v>91</v>
      </c>
      <c r="B13" s="11" t="s">
        <v>90</v>
      </c>
      <c r="C13" s="11" t="s">
        <v>85</v>
      </c>
      <c r="D13" s="13">
        <v>10.1</v>
      </c>
      <c r="E13" s="13">
        <v>8.6999999999999993</v>
      </c>
      <c r="F13" s="13">
        <v>7.18</v>
      </c>
      <c r="G13" s="13">
        <v>6.27</v>
      </c>
      <c r="H13" s="5" t="s">
        <v>15</v>
      </c>
      <c r="I13" s="13">
        <v>11.89</v>
      </c>
      <c r="J13" s="17" t="s">
        <v>15</v>
      </c>
      <c r="K13" s="21"/>
      <c r="L13" s="11" t="s">
        <v>2</v>
      </c>
      <c r="M13" s="11" t="s">
        <v>14</v>
      </c>
    </row>
    <row r="14" spans="1:13" ht="15.75" thickBot="1" x14ac:dyDescent="0.3">
      <c r="A14" s="20" t="s">
        <v>89</v>
      </c>
      <c r="B14" s="20" t="s">
        <v>88</v>
      </c>
      <c r="C14" s="20" t="s">
        <v>85</v>
      </c>
      <c r="D14" s="5" t="s">
        <v>15</v>
      </c>
      <c r="E14" s="5" t="s">
        <v>15</v>
      </c>
      <c r="F14" s="5" t="s">
        <v>15</v>
      </c>
      <c r="G14" s="5" t="s">
        <v>15</v>
      </c>
      <c r="H14" s="5" t="s">
        <v>15</v>
      </c>
      <c r="I14" s="6">
        <v>122.1</v>
      </c>
      <c r="J14" s="6">
        <v>389</v>
      </c>
      <c r="K14" s="19">
        <f>I14/J14-1</f>
        <v>-0.68611825192802056</v>
      </c>
      <c r="L14" s="2" t="s">
        <v>7</v>
      </c>
      <c r="M14" s="2" t="s">
        <v>67</v>
      </c>
    </row>
    <row r="15" spans="1:13" ht="15.75" thickBot="1" x14ac:dyDescent="0.3">
      <c r="A15" s="20" t="s">
        <v>87</v>
      </c>
      <c r="B15" s="20" t="s">
        <v>86</v>
      </c>
      <c r="C15" s="20" t="s">
        <v>85</v>
      </c>
      <c r="D15" s="5" t="s">
        <v>15</v>
      </c>
      <c r="E15" s="5" t="s">
        <v>15</v>
      </c>
      <c r="F15" s="5" t="s">
        <v>15</v>
      </c>
      <c r="G15" s="5" t="s">
        <v>15</v>
      </c>
      <c r="H15" s="5" t="s">
        <v>15</v>
      </c>
      <c r="I15" s="6">
        <v>131.80000000000001</v>
      </c>
      <c r="J15" s="6">
        <v>192.5</v>
      </c>
      <c r="K15" s="19">
        <f>I15/J15-1</f>
        <v>-0.31532467532467523</v>
      </c>
      <c r="L15" s="2" t="s">
        <v>7</v>
      </c>
      <c r="M15" s="2" t="s">
        <v>67</v>
      </c>
    </row>
    <row r="16" spans="1:13" ht="15.75" thickBot="1" x14ac:dyDescent="0.3">
      <c r="A16" s="8" t="s">
        <v>84</v>
      </c>
      <c r="B16" s="8" t="s">
        <v>83</v>
      </c>
      <c r="C16" s="8" t="s">
        <v>3</v>
      </c>
      <c r="D16" s="10">
        <v>296</v>
      </c>
      <c r="E16" s="10">
        <v>278</v>
      </c>
      <c r="F16" s="10">
        <v>262</v>
      </c>
      <c r="G16" s="7">
        <v>243</v>
      </c>
      <c r="H16" s="5" t="s">
        <v>15</v>
      </c>
      <c r="I16" s="6">
        <v>254.95</v>
      </c>
      <c r="J16" s="6">
        <v>318</v>
      </c>
      <c r="K16" s="3">
        <f>I16/J16-1</f>
        <v>-0.19827044025157237</v>
      </c>
      <c r="L16" s="2" t="s">
        <v>7</v>
      </c>
      <c r="M16" s="2" t="s">
        <v>6</v>
      </c>
    </row>
    <row r="17" spans="1:13" ht="15.75" thickBot="1" x14ac:dyDescent="0.3">
      <c r="A17" s="8" t="s">
        <v>82</v>
      </c>
      <c r="B17" s="8" t="s">
        <v>81</v>
      </c>
      <c r="C17" s="8" t="s">
        <v>3</v>
      </c>
      <c r="D17" s="10">
        <v>772</v>
      </c>
      <c r="E17" s="7">
        <v>707</v>
      </c>
      <c r="F17" s="7">
        <v>645</v>
      </c>
      <c r="G17" s="7">
        <v>575</v>
      </c>
      <c r="H17" s="5" t="s">
        <v>15</v>
      </c>
      <c r="I17" s="6">
        <v>781.7</v>
      </c>
      <c r="J17" s="6">
        <v>895</v>
      </c>
      <c r="K17" s="3">
        <f>I17/J17-1</f>
        <v>-0.12659217877094964</v>
      </c>
      <c r="L17" s="2" t="s">
        <v>7</v>
      </c>
      <c r="M17" s="2" t="s">
        <v>67</v>
      </c>
    </row>
    <row r="18" spans="1:13" s="18" customFormat="1" ht="15.75" thickBot="1" x14ac:dyDescent="0.3">
      <c r="A18" s="8" t="s">
        <v>80</v>
      </c>
      <c r="B18" s="8" t="s">
        <v>79</v>
      </c>
      <c r="C18" s="8" t="s">
        <v>3</v>
      </c>
      <c r="D18" s="7">
        <v>207</v>
      </c>
      <c r="E18" s="7">
        <v>182</v>
      </c>
      <c r="F18" s="7">
        <v>157</v>
      </c>
      <c r="G18" s="7">
        <v>140</v>
      </c>
      <c r="H18" s="5" t="s">
        <v>15</v>
      </c>
      <c r="I18" s="6">
        <v>334.89</v>
      </c>
      <c r="J18" s="6">
        <v>212</v>
      </c>
      <c r="K18" s="3">
        <f>I18/J18-1</f>
        <v>0.57966981132075457</v>
      </c>
      <c r="L18" s="2" t="s">
        <v>7</v>
      </c>
      <c r="M18" s="2" t="s">
        <v>67</v>
      </c>
    </row>
    <row r="19" spans="1:13" ht="15.75" thickBot="1" x14ac:dyDescent="0.3">
      <c r="A19" s="8" t="s">
        <v>78</v>
      </c>
      <c r="B19" s="8" t="s">
        <v>77</v>
      </c>
      <c r="C19" s="8" t="s">
        <v>3</v>
      </c>
      <c r="D19" s="7">
        <v>3231</v>
      </c>
      <c r="E19" s="7">
        <v>3004</v>
      </c>
      <c r="F19" s="7">
        <v>2897</v>
      </c>
      <c r="G19" s="7">
        <v>2730</v>
      </c>
      <c r="H19" s="5" t="s">
        <v>15</v>
      </c>
      <c r="I19" s="6">
        <v>4219.41</v>
      </c>
      <c r="J19" s="6">
        <v>3272</v>
      </c>
      <c r="K19" s="3">
        <f>I19/J19-1</f>
        <v>0.28955073349633254</v>
      </c>
      <c r="L19" s="2" t="s">
        <v>7</v>
      </c>
      <c r="M19" s="2" t="s">
        <v>6</v>
      </c>
    </row>
    <row r="20" spans="1:13" ht="15.75" thickBot="1" x14ac:dyDescent="0.3">
      <c r="A20" s="8" t="s">
        <v>76</v>
      </c>
      <c r="B20" s="8" t="s">
        <v>75</v>
      </c>
      <c r="C20" s="8" t="s">
        <v>3</v>
      </c>
      <c r="D20" s="7">
        <v>4148</v>
      </c>
      <c r="E20" s="7">
        <v>3749</v>
      </c>
      <c r="F20" s="7">
        <v>3395</v>
      </c>
      <c r="G20" s="7">
        <v>3166</v>
      </c>
      <c r="H20" s="5" t="s">
        <v>15</v>
      </c>
      <c r="I20" s="6">
        <v>5505.8</v>
      </c>
      <c r="J20" s="6">
        <v>4389</v>
      </c>
      <c r="K20" s="3">
        <f>I20/J20-1</f>
        <v>0.25445431761221249</v>
      </c>
      <c r="L20" s="2" t="s">
        <v>7</v>
      </c>
      <c r="M20" s="2" t="s">
        <v>67</v>
      </c>
    </row>
    <row r="21" spans="1:13" ht="15.75" thickBot="1" x14ac:dyDescent="0.3">
      <c r="A21" s="8" t="s">
        <v>74</v>
      </c>
      <c r="B21" s="8" t="s">
        <v>73</v>
      </c>
      <c r="C21" s="8" t="s">
        <v>3</v>
      </c>
      <c r="D21" s="10">
        <v>58</v>
      </c>
      <c r="E21" s="7">
        <v>50</v>
      </c>
      <c r="F21" s="7">
        <v>46</v>
      </c>
      <c r="G21" s="7">
        <v>40</v>
      </c>
      <c r="H21" s="5" t="s">
        <v>15</v>
      </c>
      <c r="I21" s="6">
        <v>58.37</v>
      </c>
      <c r="J21" s="6">
        <v>84.77</v>
      </c>
      <c r="K21" s="3">
        <f>I21/J21-1</f>
        <v>-0.31143093075380446</v>
      </c>
      <c r="L21" s="2" t="s">
        <v>11</v>
      </c>
      <c r="M21" s="2" t="s">
        <v>22</v>
      </c>
    </row>
    <row r="22" spans="1:13" ht="15.75" thickBot="1" x14ac:dyDescent="0.3">
      <c r="A22" s="8" t="s">
        <v>72</v>
      </c>
      <c r="B22" s="8" t="s">
        <v>71</v>
      </c>
      <c r="C22" s="8" t="s">
        <v>3</v>
      </c>
      <c r="D22" s="10">
        <v>51</v>
      </c>
      <c r="E22" s="10">
        <v>48</v>
      </c>
      <c r="F22" s="7">
        <v>46</v>
      </c>
      <c r="G22" s="7">
        <v>43</v>
      </c>
      <c r="H22" s="5" t="s">
        <v>15</v>
      </c>
      <c r="I22" s="6">
        <v>48.57</v>
      </c>
      <c r="J22" s="6">
        <v>53.5</v>
      </c>
      <c r="K22" s="3">
        <f>I22/J22-1</f>
        <v>-9.2149532710280369E-2</v>
      </c>
      <c r="L22" s="2" t="s">
        <v>7</v>
      </c>
      <c r="M22" s="2" t="s">
        <v>70</v>
      </c>
    </row>
    <row r="23" spans="1:13" ht="15.75" thickBot="1" x14ac:dyDescent="0.3">
      <c r="A23" s="8" t="s">
        <v>69</v>
      </c>
      <c r="B23" s="8" t="s">
        <v>68</v>
      </c>
      <c r="C23" s="8" t="s">
        <v>3</v>
      </c>
      <c r="D23" s="7">
        <v>286</v>
      </c>
      <c r="E23" s="7">
        <v>266</v>
      </c>
      <c r="F23" s="7">
        <v>234</v>
      </c>
      <c r="G23" s="7">
        <v>211</v>
      </c>
      <c r="H23" s="5" t="s">
        <v>15</v>
      </c>
      <c r="I23" s="6">
        <v>250.76</v>
      </c>
      <c r="J23" s="6">
        <v>318</v>
      </c>
      <c r="K23" s="3">
        <f>I23/J23-1</f>
        <v>-0.21144654088050319</v>
      </c>
      <c r="L23" s="2" t="s">
        <v>7</v>
      </c>
      <c r="M23" s="2" t="s">
        <v>67</v>
      </c>
    </row>
    <row r="24" spans="1:13" ht="15.75" thickBot="1" x14ac:dyDescent="0.3">
      <c r="A24" s="8" t="s">
        <v>66</v>
      </c>
      <c r="B24" s="8" t="s">
        <v>65</v>
      </c>
      <c r="C24" s="8" t="s">
        <v>3</v>
      </c>
      <c r="D24" s="7">
        <v>335</v>
      </c>
      <c r="E24" s="7">
        <v>303</v>
      </c>
      <c r="F24" s="7">
        <v>280</v>
      </c>
      <c r="G24" s="7">
        <v>253</v>
      </c>
      <c r="H24" s="5" t="s">
        <v>15</v>
      </c>
      <c r="I24" s="6">
        <v>417.63</v>
      </c>
      <c r="J24" s="6">
        <v>345</v>
      </c>
      <c r="K24" s="3">
        <f>I24/J24-1</f>
        <v>0.21052173913043482</v>
      </c>
      <c r="L24" s="2" t="s">
        <v>11</v>
      </c>
      <c r="M24" s="2" t="s">
        <v>22</v>
      </c>
    </row>
    <row r="25" spans="1:13" ht="15.75" thickBot="1" x14ac:dyDescent="0.3">
      <c r="A25" s="8" t="s">
        <v>64</v>
      </c>
      <c r="B25" s="8" t="s">
        <v>63</v>
      </c>
      <c r="C25" s="8" t="s">
        <v>3</v>
      </c>
      <c r="D25" s="10">
        <v>448</v>
      </c>
      <c r="E25" s="10">
        <v>410</v>
      </c>
      <c r="F25" s="10">
        <v>362</v>
      </c>
      <c r="G25" s="7">
        <v>285</v>
      </c>
      <c r="H25" s="5" t="s">
        <v>15</v>
      </c>
      <c r="I25" s="6">
        <v>313.64</v>
      </c>
      <c r="J25" s="6">
        <v>481</v>
      </c>
      <c r="K25" s="3">
        <f>I25/J25-1</f>
        <v>-0.34794178794178798</v>
      </c>
      <c r="L25" s="2" t="s">
        <v>11</v>
      </c>
      <c r="M25" s="1" t="s">
        <v>10</v>
      </c>
    </row>
    <row r="26" spans="1:13" ht="15.75" thickBot="1" x14ac:dyDescent="0.3">
      <c r="A26" s="8" t="s">
        <v>62</v>
      </c>
      <c r="B26" s="8" t="s">
        <v>61</v>
      </c>
      <c r="C26" s="8" t="s">
        <v>3</v>
      </c>
      <c r="D26" s="10">
        <v>98</v>
      </c>
      <c r="E26" s="10">
        <v>86</v>
      </c>
      <c r="F26" s="7">
        <v>82</v>
      </c>
      <c r="G26" s="7">
        <v>69</v>
      </c>
      <c r="H26" s="5" t="s">
        <v>15</v>
      </c>
      <c r="I26" s="6">
        <v>85.14</v>
      </c>
      <c r="J26" s="6">
        <v>170</v>
      </c>
      <c r="K26" s="3">
        <f>I26/J26-1</f>
        <v>-0.49917647058823533</v>
      </c>
      <c r="L26" s="2" t="s">
        <v>7</v>
      </c>
      <c r="M26" s="2" t="s">
        <v>27</v>
      </c>
    </row>
    <row r="27" spans="1:13" ht="15.75" thickBot="1" x14ac:dyDescent="0.3">
      <c r="A27" s="8" t="s">
        <v>60</v>
      </c>
      <c r="B27" s="8" t="s">
        <v>59</v>
      </c>
      <c r="C27" s="8" t="s">
        <v>3</v>
      </c>
      <c r="D27" s="10">
        <v>87</v>
      </c>
      <c r="E27" s="10">
        <v>81</v>
      </c>
      <c r="F27" s="7">
        <v>74</v>
      </c>
      <c r="G27" s="7">
        <v>69</v>
      </c>
      <c r="H27" s="5" t="s">
        <v>15</v>
      </c>
      <c r="I27" s="6">
        <v>78.83</v>
      </c>
      <c r="J27" s="6">
        <v>92</v>
      </c>
      <c r="K27" s="3">
        <f>I27/J27-1</f>
        <v>-0.14315217391304347</v>
      </c>
      <c r="L27" s="2" t="s">
        <v>7</v>
      </c>
      <c r="M27" s="2" t="s">
        <v>27</v>
      </c>
    </row>
    <row r="28" spans="1:13" ht="15.75" thickBot="1" x14ac:dyDescent="0.3">
      <c r="A28" s="11" t="s">
        <v>58</v>
      </c>
      <c r="B28" s="11" t="s">
        <v>57</v>
      </c>
      <c r="C28" s="11" t="s">
        <v>3</v>
      </c>
      <c r="D28" s="5" t="s">
        <v>15</v>
      </c>
      <c r="E28" s="5" t="s">
        <v>15</v>
      </c>
      <c r="F28" s="5" t="s">
        <v>15</v>
      </c>
      <c r="G28" s="5" t="s">
        <v>15</v>
      </c>
      <c r="H28" s="5" t="s">
        <v>15</v>
      </c>
      <c r="I28" s="17">
        <v>98.47</v>
      </c>
      <c r="J28" s="17" t="s">
        <v>15</v>
      </c>
      <c r="K28" s="12"/>
      <c r="L28" s="11" t="s">
        <v>15</v>
      </c>
      <c r="M28" s="11" t="s">
        <v>14</v>
      </c>
    </row>
    <row r="29" spans="1:13" ht="15.75" thickBot="1" x14ac:dyDescent="0.3">
      <c r="A29" s="8" t="s">
        <v>56</v>
      </c>
      <c r="B29" s="8" t="s">
        <v>55</v>
      </c>
      <c r="C29" s="8" t="s">
        <v>3</v>
      </c>
      <c r="D29" s="7">
        <v>377</v>
      </c>
      <c r="E29" s="7">
        <v>355</v>
      </c>
      <c r="F29" s="7">
        <v>330</v>
      </c>
      <c r="G29" s="7">
        <v>311</v>
      </c>
      <c r="H29" s="5" t="s">
        <v>2</v>
      </c>
      <c r="I29" s="6">
        <v>420.77</v>
      </c>
      <c r="J29" s="6">
        <v>398</v>
      </c>
      <c r="K29" s="3">
        <f>I29/J29-1</f>
        <v>5.7211055276381817E-2</v>
      </c>
      <c r="L29" s="2" t="s">
        <v>11</v>
      </c>
      <c r="M29" s="1" t="s">
        <v>10</v>
      </c>
    </row>
    <row r="30" spans="1:13" ht="15.75" thickBot="1" x14ac:dyDescent="0.3">
      <c r="A30" s="8" t="s">
        <v>54</v>
      </c>
      <c r="B30" s="8" t="s">
        <v>53</v>
      </c>
      <c r="C30" s="8" t="s">
        <v>3</v>
      </c>
      <c r="D30" s="7">
        <v>181</v>
      </c>
      <c r="E30" s="7">
        <v>162</v>
      </c>
      <c r="F30" s="7">
        <v>139</v>
      </c>
      <c r="G30" s="7">
        <v>115</v>
      </c>
      <c r="H30" s="5" t="s">
        <v>2</v>
      </c>
      <c r="I30" s="6">
        <v>185.48</v>
      </c>
      <c r="J30" s="6">
        <v>205</v>
      </c>
      <c r="K30" s="3">
        <f>I30/J30-1</f>
        <v>-9.5219512195122036E-2</v>
      </c>
      <c r="L30" s="2" t="s">
        <v>7</v>
      </c>
      <c r="M30" s="1" t="s">
        <v>10</v>
      </c>
    </row>
    <row r="31" spans="1:13" ht="15.75" thickBot="1" x14ac:dyDescent="0.3">
      <c r="A31" s="8" t="s">
        <v>52</v>
      </c>
      <c r="B31" s="8" t="s">
        <v>51</v>
      </c>
      <c r="C31" s="8" t="s">
        <v>3</v>
      </c>
      <c r="D31" s="7">
        <v>372</v>
      </c>
      <c r="E31" s="7">
        <v>318</v>
      </c>
      <c r="F31" s="7">
        <v>254</v>
      </c>
      <c r="G31" s="7">
        <v>174</v>
      </c>
      <c r="H31" s="5" t="s">
        <v>2</v>
      </c>
      <c r="I31" s="6">
        <v>642.99</v>
      </c>
      <c r="J31" s="6">
        <v>395</v>
      </c>
      <c r="K31" s="3">
        <f>I31/J31-1</f>
        <v>0.62782278481012654</v>
      </c>
      <c r="L31" s="2" t="s">
        <v>11</v>
      </c>
      <c r="M31" s="1" t="s">
        <v>10</v>
      </c>
    </row>
    <row r="32" spans="1:13" ht="15.75" thickBot="1" x14ac:dyDescent="0.3">
      <c r="A32" s="11" t="s">
        <v>50</v>
      </c>
      <c r="B32" s="11" t="s">
        <v>49</v>
      </c>
      <c r="C32" s="11" t="s">
        <v>3</v>
      </c>
      <c r="D32" s="5" t="s">
        <v>2</v>
      </c>
      <c r="E32" s="5" t="s">
        <v>2</v>
      </c>
      <c r="F32" s="5" t="s">
        <v>2</v>
      </c>
      <c r="G32" s="5" t="s">
        <v>2</v>
      </c>
      <c r="H32" s="5" t="s">
        <v>2</v>
      </c>
      <c r="I32" s="17">
        <v>47.75</v>
      </c>
      <c r="J32" s="5" t="s">
        <v>2</v>
      </c>
      <c r="K32" s="12"/>
      <c r="L32" s="11" t="s">
        <v>15</v>
      </c>
      <c r="M32" s="11" t="s">
        <v>14</v>
      </c>
    </row>
    <row r="33" spans="1:13" ht="15.75" thickBot="1" x14ac:dyDescent="0.3">
      <c r="A33" s="11" t="s">
        <v>48</v>
      </c>
      <c r="B33" s="11" t="s">
        <v>47</v>
      </c>
      <c r="C33" s="11" t="s">
        <v>3</v>
      </c>
      <c r="D33" s="14">
        <v>60</v>
      </c>
      <c r="E33" s="14">
        <v>58</v>
      </c>
      <c r="F33" s="14">
        <v>56</v>
      </c>
      <c r="G33" s="14">
        <v>54</v>
      </c>
      <c r="H33" s="5" t="s">
        <v>2</v>
      </c>
      <c r="I33" s="13">
        <v>62.44</v>
      </c>
      <c r="J33" s="5" t="s">
        <v>2</v>
      </c>
      <c r="K33" s="12"/>
      <c r="L33" s="11" t="s">
        <v>15</v>
      </c>
      <c r="M33" s="11" t="s">
        <v>14</v>
      </c>
    </row>
    <row r="34" spans="1:13" ht="15.75" thickBot="1" x14ac:dyDescent="0.3">
      <c r="A34" s="8" t="s">
        <v>46</v>
      </c>
      <c r="B34" s="8" t="s">
        <v>45</v>
      </c>
      <c r="C34" s="8" t="s">
        <v>3</v>
      </c>
      <c r="D34" s="7">
        <v>237</v>
      </c>
      <c r="E34" s="7">
        <v>222</v>
      </c>
      <c r="F34" s="7">
        <v>212</v>
      </c>
      <c r="G34" s="5" t="s">
        <v>2</v>
      </c>
      <c r="H34" s="5" t="s">
        <v>2</v>
      </c>
      <c r="I34" s="6">
        <v>269.97000000000003</v>
      </c>
      <c r="J34" s="7">
        <v>245</v>
      </c>
      <c r="K34" s="3">
        <f>I34/J34-1</f>
        <v>0.10191836734693882</v>
      </c>
      <c r="L34" s="2" t="s">
        <v>7</v>
      </c>
      <c r="M34" s="1" t="s">
        <v>6</v>
      </c>
    </row>
    <row r="35" spans="1:13" ht="27" thickBot="1" x14ac:dyDescent="0.3">
      <c r="A35" s="8" t="s">
        <v>44</v>
      </c>
      <c r="B35" s="8" t="s">
        <v>43</v>
      </c>
      <c r="C35" s="8" t="s">
        <v>3</v>
      </c>
      <c r="D35" s="10">
        <v>137</v>
      </c>
      <c r="E35" s="10">
        <v>119</v>
      </c>
      <c r="F35" s="7">
        <v>106</v>
      </c>
      <c r="G35" s="5" t="s">
        <v>2</v>
      </c>
      <c r="H35" s="5" t="s">
        <v>2</v>
      </c>
      <c r="I35" s="6">
        <v>116.13</v>
      </c>
      <c r="J35" s="7">
        <v>159</v>
      </c>
      <c r="K35" s="3">
        <f>I35/J35-1</f>
        <v>-0.26962264150943394</v>
      </c>
      <c r="L35" s="2" t="s">
        <v>7</v>
      </c>
      <c r="M35" s="15" t="s">
        <v>34</v>
      </c>
    </row>
    <row r="36" spans="1:13" ht="15.75" thickBot="1" x14ac:dyDescent="0.3">
      <c r="A36" s="8" t="s">
        <v>42</v>
      </c>
      <c r="B36" s="8" t="s">
        <v>41</v>
      </c>
      <c r="C36" s="8" t="s">
        <v>3</v>
      </c>
      <c r="D36" s="4">
        <v>2145</v>
      </c>
      <c r="E36" s="4">
        <v>1834</v>
      </c>
      <c r="F36" s="4">
        <v>1645</v>
      </c>
      <c r="G36" s="4">
        <v>1481</v>
      </c>
      <c r="H36" s="5" t="s">
        <v>2</v>
      </c>
      <c r="I36" s="16">
        <v>2417.4899999999998</v>
      </c>
      <c r="J36" s="4">
        <v>2284</v>
      </c>
      <c r="K36" s="3">
        <f>I36/J36-1</f>
        <v>5.8445709281961467E-2</v>
      </c>
      <c r="L36" s="11" t="s">
        <v>15</v>
      </c>
      <c r="M36" s="9" t="s">
        <v>27</v>
      </c>
    </row>
    <row r="37" spans="1:13" ht="15.75" thickBot="1" x14ac:dyDescent="0.3">
      <c r="A37" s="8" t="s">
        <v>40</v>
      </c>
      <c r="B37" s="8" t="s">
        <v>39</v>
      </c>
      <c r="C37" s="8" t="s">
        <v>3</v>
      </c>
      <c r="D37" s="7">
        <v>482</v>
      </c>
      <c r="E37" s="7">
        <v>457</v>
      </c>
      <c r="F37" s="7">
        <v>438</v>
      </c>
      <c r="G37" s="7">
        <v>385</v>
      </c>
      <c r="H37" s="5" t="s">
        <v>2</v>
      </c>
      <c r="I37" s="6">
        <v>555.15</v>
      </c>
      <c r="J37" s="7">
        <v>491</v>
      </c>
      <c r="K37" s="3">
        <f>I37/J37-1</f>
        <v>0.13065173116089612</v>
      </c>
      <c r="L37" s="2" t="s">
        <v>7</v>
      </c>
      <c r="M37" s="1" t="s">
        <v>6</v>
      </c>
    </row>
    <row r="38" spans="1:13" ht="15.75" thickBot="1" x14ac:dyDescent="0.3">
      <c r="A38" s="8" t="s">
        <v>38</v>
      </c>
      <c r="B38" s="8" t="s">
        <v>37</v>
      </c>
      <c r="C38" s="8" t="s">
        <v>3</v>
      </c>
      <c r="D38" s="7">
        <v>405</v>
      </c>
      <c r="E38" s="7">
        <v>388</v>
      </c>
      <c r="F38" s="7">
        <v>352</v>
      </c>
      <c r="G38" s="5" t="s">
        <v>2</v>
      </c>
      <c r="H38" s="5" t="s">
        <v>2</v>
      </c>
      <c r="I38" s="6">
        <v>478.98</v>
      </c>
      <c r="J38" s="7">
        <v>408</v>
      </c>
      <c r="K38" s="3">
        <f>I38/J38-1</f>
        <v>0.17397058823529421</v>
      </c>
      <c r="L38" s="2" t="s">
        <v>7</v>
      </c>
      <c r="M38" s="2" t="s">
        <v>27</v>
      </c>
    </row>
    <row r="39" spans="1:13" ht="15.75" thickBot="1" x14ac:dyDescent="0.3">
      <c r="A39" s="8" t="s">
        <v>36</v>
      </c>
      <c r="B39" s="8" t="s">
        <v>35</v>
      </c>
      <c r="C39" s="8" t="s">
        <v>3</v>
      </c>
      <c r="D39" s="10">
        <v>97</v>
      </c>
      <c r="E39" s="10">
        <v>82</v>
      </c>
      <c r="F39" s="7">
        <v>70</v>
      </c>
      <c r="G39" s="4">
        <v>60</v>
      </c>
      <c r="H39" s="5" t="s">
        <v>2</v>
      </c>
      <c r="I39" s="6">
        <v>73.91</v>
      </c>
      <c r="J39" s="7">
        <v>110</v>
      </c>
      <c r="K39" s="3">
        <f>I39/J39-1</f>
        <v>-0.3280909090909091</v>
      </c>
      <c r="L39" s="2" t="s">
        <v>7</v>
      </c>
      <c r="M39" s="15" t="s">
        <v>34</v>
      </c>
    </row>
    <row r="40" spans="1:13" ht="15.75" thickBot="1" x14ac:dyDescent="0.3">
      <c r="A40" s="8" t="s">
        <v>33</v>
      </c>
      <c r="B40" s="8" t="s">
        <v>32</v>
      </c>
      <c r="C40" s="8" t="s">
        <v>3</v>
      </c>
      <c r="D40" s="7">
        <v>871</v>
      </c>
      <c r="E40" s="7">
        <v>808</v>
      </c>
      <c r="F40" s="7">
        <v>730</v>
      </c>
      <c r="G40" s="7">
        <v>637</v>
      </c>
      <c r="H40" s="5" t="s">
        <v>2</v>
      </c>
      <c r="I40" s="6">
        <v>913.9</v>
      </c>
      <c r="J40" s="7">
        <v>925</v>
      </c>
      <c r="K40" s="3">
        <f>I40/J40-1</f>
        <v>-1.2000000000000011E-2</v>
      </c>
      <c r="L40" s="2" t="s">
        <v>7</v>
      </c>
      <c r="M40" s="2" t="s">
        <v>27</v>
      </c>
    </row>
    <row r="41" spans="1:13" ht="15.75" thickBot="1" x14ac:dyDescent="0.3">
      <c r="A41" s="8" t="s">
        <v>31</v>
      </c>
      <c r="B41" s="8" t="s">
        <v>30</v>
      </c>
      <c r="C41" s="8" t="s">
        <v>3</v>
      </c>
      <c r="D41" s="10">
        <v>75</v>
      </c>
      <c r="E41" s="10">
        <v>67</v>
      </c>
      <c r="F41" s="10">
        <v>65</v>
      </c>
      <c r="G41" s="7">
        <v>45</v>
      </c>
      <c r="H41" s="5" t="s">
        <v>2</v>
      </c>
      <c r="I41" s="6">
        <v>55.23</v>
      </c>
      <c r="J41" s="7">
        <v>89</v>
      </c>
      <c r="K41" s="3">
        <f>I41/J41-1</f>
        <v>-0.37943820224719105</v>
      </c>
      <c r="L41" s="2" t="s">
        <v>7</v>
      </c>
      <c r="M41" s="1" t="s">
        <v>10</v>
      </c>
    </row>
    <row r="42" spans="1:13" ht="15.75" thickBot="1" x14ac:dyDescent="0.3">
      <c r="A42" s="8" t="s">
        <v>29</v>
      </c>
      <c r="B42" s="8" t="s">
        <v>28</v>
      </c>
      <c r="C42" s="8" t="s">
        <v>3</v>
      </c>
      <c r="D42" s="7">
        <v>185</v>
      </c>
      <c r="E42" s="7">
        <v>173</v>
      </c>
      <c r="F42" s="7">
        <v>165</v>
      </c>
      <c r="G42" s="7">
        <v>145</v>
      </c>
      <c r="H42" s="5" t="s">
        <v>2</v>
      </c>
      <c r="I42" s="6">
        <v>194.46</v>
      </c>
      <c r="J42" s="7">
        <v>202</v>
      </c>
      <c r="K42" s="3">
        <f>I42/J42-1</f>
        <v>-3.7326732673267249E-2</v>
      </c>
      <c r="L42" s="2" t="s">
        <v>7</v>
      </c>
      <c r="M42" s="2" t="s">
        <v>27</v>
      </c>
    </row>
    <row r="43" spans="1:13" ht="15.75" thickBot="1" x14ac:dyDescent="0.3">
      <c r="A43" s="8" t="s">
        <v>26</v>
      </c>
      <c r="B43" s="8" t="s">
        <v>25</v>
      </c>
      <c r="C43" s="8" t="s">
        <v>3</v>
      </c>
      <c r="D43" s="10">
        <v>155</v>
      </c>
      <c r="E43" s="10">
        <v>148</v>
      </c>
      <c r="F43" s="7">
        <v>141</v>
      </c>
      <c r="G43" s="7">
        <v>127</v>
      </c>
      <c r="H43" s="5" t="s">
        <v>2</v>
      </c>
      <c r="I43" s="6">
        <v>146.38999999999999</v>
      </c>
      <c r="J43" s="7">
        <v>158</v>
      </c>
      <c r="K43" s="3">
        <f>I43/J43-1</f>
        <v>-7.3481012658227929E-2</v>
      </c>
      <c r="L43" s="2" t="s">
        <v>7</v>
      </c>
      <c r="M43" s="1" t="s">
        <v>10</v>
      </c>
    </row>
    <row r="44" spans="1:13" ht="15.75" thickBot="1" x14ac:dyDescent="0.3">
      <c r="A44" s="8" t="s">
        <v>24</v>
      </c>
      <c r="B44" s="8" t="s">
        <v>23</v>
      </c>
      <c r="C44" s="8" t="s">
        <v>3</v>
      </c>
      <c r="D44" s="7">
        <v>65</v>
      </c>
      <c r="E44" s="7">
        <v>56</v>
      </c>
      <c r="F44" s="7">
        <v>40</v>
      </c>
      <c r="G44" s="7">
        <v>27</v>
      </c>
      <c r="H44" s="5" t="s">
        <v>2</v>
      </c>
      <c r="I44" s="6">
        <v>153.11000000000001</v>
      </c>
      <c r="J44" s="7">
        <v>71</v>
      </c>
      <c r="K44" s="3">
        <f>I44/J44-1</f>
        <v>1.1564788732394367</v>
      </c>
      <c r="L44" s="2" t="s">
        <v>11</v>
      </c>
      <c r="M44" s="1" t="s">
        <v>22</v>
      </c>
    </row>
    <row r="45" spans="1:13" ht="15.75" thickBot="1" x14ac:dyDescent="0.3">
      <c r="A45" s="8" t="s">
        <v>21</v>
      </c>
      <c r="B45" s="8" t="s">
        <v>20</v>
      </c>
      <c r="C45" s="8" t="s">
        <v>3</v>
      </c>
      <c r="D45" s="7">
        <v>338</v>
      </c>
      <c r="E45" s="7">
        <v>330</v>
      </c>
      <c r="F45" s="7">
        <v>308</v>
      </c>
      <c r="G45" s="7">
        <v>284</v>
      </c>
      <c r="H45" s="5" t="s">
        <v>2</v>
      </c>
      <c r="I45" s="6">
        <v>333.09</v>
      </c>
      <c r="J45" s="7">
        <v>352.5</v>
      </c>
      <c r="K45" s="3">
        <f>I45/J45-1</f>
        <v>-5.506382978723412E-2</v>
      </c>
      <c r="L45" s="2" t="s">
        <v>7</v>
      </c>
      <c r="M45" s="1" t="s">
        <v>6</v>
      </c>
    </row>
    <row r="46" spans="1:13" ht="15.75" thickBot="1" x14ac:dyDescent="0.3">
      <c r="A46" s="11" t="s">
        <v>19</v>
      </c>
      <c r="B46" s="11" t="s">
        <v>18</v>
      </c>
      <c r="C46" s="11" t="s">
        <v>3</v>
      </c>
      <c r="D46" s="14">
        <v>61</v>
      </c>
      <c r="E46" s="14">
        <v>57</v>
      </c>
      <c r="F46" s="14">
        <v>53</v>
      </c>
      <c r="G46" s="14">
        <v>49</v>
      </c>
      <c r="H46" s="5" t="s">
        <v>2</v>
      </c>
      <c r="I46" s="13">
        <v>62.12</v>
      </c>
      <c r="J46" s="5" t="s">
        <v>2</v>
      </c>
      <c r="K46" s="12"/>
      <c r="L46" s="11" t="s">
        <v>15</v>
      </c>
      <c r="M46" s="11" t="s">
        <v>14</v>
      </c>
    </row>
    <row r="47" spans="1:13" ht="15.75" thickBot="1" x14ac:dyDescent="0.3">
      <c r="A47" s="11" t="s">
        <v>17</v>
      </c>
      <c r="B47" s="11" t="s">
        <v>16</v>
      </c>
      <c r="C47" s="11" t="s">
        <v>3</v>
      </c>
      <c r="D47" s="14">
        <v>231</v>
      </c>
      <c r="E47" s="14">
        <v>209</v>
      </c>
      <c r="F47" s="14">
        <v>192</v>
      </c>
      <c r="G47" s="5">
        <v>178</v>
      </c>
      <c r="H47" s="5" t="s">
        <v>2</v>
      </c>
      <c r="I47" s="13">
        <v>247.05</v>
      </c>
      <c r="J47" s="5" t="s">
        <v>2</v>
      </c>
      <c r="K47" s="12"/>
      <c r="L47" s="11" t="s">
        <v>15</v>
      </c>
      <c r="M47" s="11" t="s">
        <v>14</v>
      </c>
    </row>
    <row r="48" spans="1:13" ht="15.75" thickBot="1" x14ac:dyDescent="0.3">
      <c r="A48" s="8" t="s">
        <v>13</v>
      </c>
      <c r="B48" s="8" t="s">
        <v>12</v>
      </c>
      <c r="C48" s="8" t="s">
        <v>3</v>
      </c>
      <c r="D48" s="10">
        <v>367</v>
      </c>
      <c r="E48" s="10">
        <v>320</v>
      </c>
      <c r="F48" s="7">
        <v>246</v>
      </c>
      <c r="G48" s="7">
        <v>187</v>
      </c>
      <c r="H48" s="5" t="s">
        <v>2</v>
      </c>
      <c r="I48" s="6">
        <v>315.39</v>
      </c>
      <c r="J48" s="4">
        <v>369</v>
      </c>
      <c r="K48" s="3">
        <f>I48/J48-1</f>
        <v>-0.14528455284552855</v>
      </c>
      <c r="L48" s="9" t="s">
        <v>11</v>
      </c>
      <c r="M48" s="1" t="s">
        <v>10</v>
      </c>
    </row>
    <row r="49" spans="1:13" ht="15.75" thickBot="1" x14ac:dyDescent="0.3">
      <c r="A49" s="8" t="s">
        <v>9</v>
      </c>
      <c r="B49" s="8" t="s">
        <v>8</v>
      </c>
      <c r="C49" s="8" t="s">
        <v>3</v>
      </c>
      <c r="D49" s="7">
        <v>292</v>
      </c>
      <c r="E49" s="7">
        <v>281</v>
      </c>
      <c r="F49" s="7">
        <v>268</v>
      </c>
      <c r="G49" s="7">
        <v>254</v>
      </c>
      <c r="H49" s="5" t="s">
        <v>2</v>
      </c>
      <c r="I49" s="6">
        <v>343.22</v>
      </c>
      <c r="J49" s="4">
        <v>296</v>
      </c>
      <c r="K49" s="3">
        <f>I49/J49-1</f>
        <v>0.15952702702702704</v>
      </c>
      <c r="L49" s="2" t="s">
        <v>7</v>
      </c>
      <c r="M49" s="1" t="s">
        <v>6</v>
      </c>
    </row>
    <row r="50" spans="1:13" ht="15.75" thickBot="1" x14ac:dyDescent="0.3">
      <c r="A50" s="8" t="s">
        <v>5</v>
      </c>
      <c r="B50" s="8" t="s">
        <v>4</v>
      </c>
      <c r="C50" s="8" t="s">
        <v>3</v>
      </c>
      <c r="D50" s="7">
        <v>247</v>
      </c>
      <c r="E50" s="7">
        <v>235</v>
      </c>
      <c r="F50" s="7">
        <v>217</v>
      </c>
      <c r="G50" s="7">
        <v>201</v>
      </c>
      <c r="H50" s="5" t="s">
        <v>2</v>
      </c>
      <c r="I50" s="6">
        <v>272.93</v>
      </c>
      <c r="J50" s="4">
        <v>270</v>
      </c>
      <c r="K50" s="3">
        <f>I50/J50-1</f>
        <v>1.085185185185189E-2</v>
      </c>
      <c r="L50" s="2" t="s">
        <v>1</v>
      </c>
      <c r="M50" s="1" t="s">
        <v>0</v>
      </c>
    </row>
  </sheetData>
  <autoFilter ref="A1:N50" xr:uid="{3CA66D61-E285-4E83-B139-0816CDD3A912}"/>
  <conditionalFormatting sqref="K2:K5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Growth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 Kiat Ling</dc:creator>
  <cp:lastModifiedBy>Tok Kiat Ling</cp:lastModifiedBy>
  <dcterms:created xsi:type="dcterms:W3CDTF">2026-01-24T16:39:58Z</dcterms:created>
  <dcterms:modified xsi:type="dcterms:W3CDTF">2026-01-25T16:21:48Z</dcterms:modified>
</cp:coreProperties>
</file>